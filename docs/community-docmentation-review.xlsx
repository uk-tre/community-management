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andragouldvanpraag/Library/Mobile Documents/com~apple~CloudDocs/repos/rcmcooperative/partner-UKTRE/community-management/docs/"/>
    </mc:Choice>
  </mc:AlternateContent>
  <xr:revisionPtr revIDLastSave="0" documentId="13_ncr:1_{6E662AA4-72E0-CC46-9226-EA96ABFBE152}" xr6:coauthVersionLast="47" xr6:coauthVersionMax="47" xr10:uidLastSave="{00000000-0000-0000-0000-000000000000}"/>
  <bookViews>
    <workbookView xWindow="0" yWindow="1060" windowWidth="30560" windowHeight="17220" activeTab="1" xr2:uid="{617020EF-C870-DD41-BC87-7763A01FCE3E}"/>
  </bookViews>
  <sheets>
    <sheet name="Sheet1" sheetId="1" r:id="rId1"/>
    <sheet name="Sheet2" sheetId="2" r:id="rId2"/>
  </sheets>
  <definedNames>
    <definedName name="_xlnm._FilterDatabase" localSheetId="0" hidden="1">Sheet1!$B$2:$D$48</definedName>
    <definedName name="_xlnm._FilterDatabase" localSheetId="1" hidden="1">Sheet2!$E$5:$F$7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H9" i="2"/>
  <c r="J9" i="2" s="1"/>
  <c r="H8" i="2"/>
  <c r="J8" i="2" s="1"/>
  <c r="H7" i="2"/>
  <c r="J7" i="2" s="1"/>
  <c r="H6" i="2"/>
  <c r="D49" i="1"/>
  <c r="D37" i="1"/>
  <c r="D27" i="1"/>
  <c r="D15" i="1"/>
  <c r="D50" i="1"/>
  <c r="D38" i="1"/>
  <c r="D28" i="1"/>
  <c r="D16" i="1"/>
  <c r="D52" i="1" l="1"/>
  <c r="D51" i="1"/>
</calcChain>
</file>

<file path=xl/sharedStrings.xml><?xml version="1.0" encoding="utf-8"?>
<sst xmlns="http://schemas.openxmlformats.org/spreadsheetml/2006/main" count="110" uniqueCount="59">
  <si>
    <t>Competency</t>
  </si>
  <si>
    <t>Theme</t>
  </si>
  <si>
    <t>Completeness</t>
  </si>
  <si>
    <t>Communication and Engagement</t>
  </si>
  <si>
    <t>Presentations</t>
  </si>
  <si>
    <t>Events archive</t>
  </si>
  <si>
    <t>Code of Conduct</t>
  </si>
  <si>
    <t>Events guides</t>
  </si>
  <si>
    <t>Calendar</t>
  </si>
  <si>
    <t>Comms channels</t>
  </si>
  <si>
    <t>Community narrative</t>
  </si>
  <si>
    <t>WG template docs</t>
  </si>
  <si>
    <t>Newsletters</t>
  </si>
  <si>
    <t>WG docs per WG</t>
  </si>
  <si>
    <t>Scicom</t>
  </si>
  <si>
    <t>Group average</t>
  </si>
  <si>
    <t>Strategic Contributions</t>
  </si>
  <si>
    <t>Governance</t>
  </si>
  <si>
    <t>Strategy design</t>
  </si>
  <si>
    <t>Ways of Working</t>
  </si>
  <si>
    <t>Stakeholder mapping</t>
  </si>
  <si>
    <t>Roadmap</t>
  </si>
  <si>
    <t>Plan for next phase</t>
  </si>
  <si>
    <t>Delivery plan</t>
  </si>
  <si>
    <t>Closure report</t>
  </si>
  <si>
    <t>KPIs</t>
  </si>
  <si>
    <t>Technical Expertise</t>
  </si>
  <si>
    <t>Recommendations/Best practice</t>
  </si>
  <si>
    <t>Methods documentation</t>
  </si>
  <si>
    <t>File storage</t>
  </si>
  <si>
    <t>GitHub issues/boards</t>
  </si>
  <si>
    <t>Training resources</t>
  </si>
  <si>
    <t>Code</t>
  </si>
  <si>
    <t>FAIR data</t>
  </si>
  <si>
    <t>Accountability</t>
  </si>
  <si>
    <t>Grant applications</t>
  </si>
  <si>
    <t>Impact evidence</t>
  </si>
  <si>
    <t>Financial reporting</t>
  </si>
  <si>
    <t>Research about community</t>
  </si>
  <si>
    <t>Meeting minutes</t>
  </si>
  <si>
    <t>Other policies</t>
  </si>
  <si>
    <t>Prizes</t>
  </si>
  <si>
    <t>Research proposals</t>
  </si>
  <si>
    <t>Papers</t>
  </si>
  <si>
    <t>Communication and Engagement Total</t>
  </si>
  <si>
    <t>Strategic Contributions Total</t>
  </si>
  <si>
    <t>Technical Expertise Total</t>
  </si>
  <si>
    <t>Accountability Total</t>
  </si>
  <si>
    <t>Grand Total</t>
  </si>
  <si>
    <t>Communication and Engagement Count</t>
  </si>
  <si>
    <t>Strategic Contributions Count</t>
  </si>
  <si>
    <t>Technical Expertise Count</t>
  </si>
  <si>
    <t>Accountability Count</t>
  </si>
  <si>
    <t>Grand Count</t>
  </si>
  <si>
    <t>Count total</t>
  </si>
  <si>
    <t>% complete</t>
  </si>
  <si>
    <t>total %</t>
  </si>
  <si>
    <t>remainder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</si>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</sst>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Communication and Engagement</a:t>
            </a:r>
          </a:p>
        </c:rich>
      </c:tx>
      <c:layout>
        <c:manualLayout>
          <c:xMode val="edge"/>
          <c:yMode val="edge"/>
          <c:x val="0.2143055555555555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Sheet2!$E$18</c:f>
              <c:strCache>
                <c:ptCount val="1"/>
                <c:pt idx="0">
                  <c:v>Communication and Engagement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27-2943-B52B-0C623CE770EF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627-2943-B52B-0C623CE770EF}"/>
              </c:ext>
            </c:extLst>
          </c:dPt>
          <c:val>
            <c:numRef>
              <c:f>Sheet2!$F$18:$G$18</c:f>
              <c:numCache>
                <c:formatCode>0%</c:formatCode>
                <c:ptCount val="2"/>
                <c:pt idx="0">
                  <c:v>0.44583333333333336</c:v>
                </c:pt>
                <c:pt idx="1">
                  <c:v>0.5541666666666667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7-2943-B52B-0C623CE77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Technical expertise</a:t>
            </a:r>
          </a:p>
        </c:rich>
      </c:tx>
      <c:layout>
        <c:manualLayout>
          <c:xMode val="edge"/>
          <c:yMode val="edge"/>
          <c:x val="0.3170833333333333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Sheet2!$E$20</c:f>
              <c:strCache>
                <c:ptCount val="1"/>
                <c:pt idx="0">
                  <c:v>Technical Expertise 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B-004E-B319-CEFC3B50A9FA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B-004E-B319-CEFC3B50A9FA}"/>
              </c:ext>
            </c:extLst>
          </c:dPt>
          <c:val>
            <c:numRef>
              <c:f>Sheet2!$F$20:$G$20</c:f>
              <c:numCache>
                <c:formatCode>0%</c:formatCode>
                <c:ptCount val="2"/>
                <c:pt idx="0">
                  <c:v>0.35749999999999998</c:v>
                </c:pt>
                <c:pt idx="1">
                  <c:v>0.64250000000000007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B-004E-B319-CEFC3B50A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Accountability</a:t>
            </a:r>
          </a:p>
        </c:rich>
      </c:tx>
      <c:layout>
        <c:manualLayout>
          <c:xMode val="edge"/>
          <c:yMode val="edge"/>
          <c:x val="0.355972222222222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Sheet2!$E$19</c:f>
              <c:strCache>
                <c:ptCount val="1"/>
                <c:pt idx="0">
                  <c:v>Accountability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A-DA44-9E91-316F80D7DB11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A-DA44-9E91-316F80D7DB11}"/>
              </c:ext>
            </c:extLst>
          </c:dPt>
          <c:val>
            <c:numRef>
              <c:f>Sheet2!$F$19:$G$19</c:f>
              <c:numCache>
                <c:formatCode>0%</c:formatCode>
                <c:ptCount val="2"/>
                <c:pt idx="0">
                  <c:v>0.38900000000000001</c:v>
                </c:pt>
                <c:pt idx="1">
                  <c:v>0.61099999999999999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4A-DA44-9E91-316F80D7D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Strategic contributions</a:t>
            </a:r>
          </a:p>
        </c:rich>
      </c:tx>
      <c:layout>
        <c:manualLayout>
          <c:xMode val="edge"/>
          <c:yMode val="edge"/>
          <c:x val="0.289305555555555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Sheet2!$E$21</c:f>
              <c:strCache>
                <c:ptCount val="1"/>
                <c:pt idx="0">
                  <c:v>Strategic Contributions Total</c:v>
                </c:pt>
              </c:strCache>
            </c:strRef>
          </c:tx>
          <c:spPr>
            <a:solidFill>
              <a:schemeClr val="bg2"/>
            </a:solidFill>
          </c:spPr>
          <c:dPt>
            <c:idx val="0"/>
            <c:bubble3D val="0"/>
            <c:spPr>
              <a:solidFill>
                <a:schemeClr val="accent2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49-3F40-9B9E-BEF255FFFBAA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49-3F40-9B9E-BEF255FFFBAA}"/>
              </c:ext>
            </c:extLst>
          </c:dPt>
          <c:val>
            <c:numRef>
              <c:f>Sheet2!$F$21:$G$21</c:f>
              <c:numCache>
                <c:formatCode>0%</c:formatCode>
                <c:ptCount val="2"/>
                <c:pt idx="0">
                  <c:v>0.13900000000000001</c:v>
                </c:pt>
                <c:pt idx="1">
                  <c:v>0.86099999999999999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49-3F40-9B9E-BEF255FF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314960</xdr:colOff>
      <xdr:row>11</xdr:row>
      <xdr:rowOff>86360</xdr:rowOff>
    </xdr:from>
    <xdr:to>
      <xdr:col>12</xdr:col>
      <xdr:colOff>772160</xdr:colOff>
      <xdr:row>24</xdr:row>
      <xdr:rowOff>187960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1E762F-9791-8FE3-F437-E6091A523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12</xdr:col>
      <xdr:colOff>457200</xdr:colOff>
      <xdr:row>40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9F407F-6DFE-9B4C-9D5D-3126CD294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314960</xdr:colOff>
      <xdr:row>23</xdr:row>
      <xdr:rowOff>60960</xdr:rowOff>
    </xdr:from>
    <xdr:to>
      <xdr:col>6</xdr:col>
      <xdr:colOff>467360</xdr:colOff>
      <xdr:row>36</xdr:row>
      <xdr:rowOff>162560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98B0AE-B3A1-924F-B5E2-37F6B0493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40</xdr:row>
      <xdr:rowOff>0</xdr:rowOff>
    </xdr:from>
    <xdr:to>
      <xdr:col>7</xdr:col>
      <xdr:colOff>152400</xdr:colOff>
      <xdr:row>53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AB7E5D-CC51-4D44-A986-060E57793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0.39111</cdr:x>
      <cdr:y>0.43148</cdr:y>
    </cdr:from>
    <cdr:to>
      <cdr:x>0.63111</cdr:x>
      <cdr:y>0.66852</cdr:y>
    </cdr:to>
    <cdr:sp macro="" textlink="Sheet2!$F$1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B14FF4E-8434-654A-E5F4-1D57CCDD68FC}"/>
            </a:ext>
          </a:extLst>
        </cdr:cNvPr>
        <cdr:cNvSpPr txBox="1"/>
      </cdr:nvSpPr>
      <cdr:spPr>
        <a:xfrm xmlns:a="http://schemas.openxmlformats.org/drawingml/2006/main">
          <a:off x="1788160" y="1183640"/>
          <a:ext cx="1097280" cy="650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E4BD7CC-552D-E247-844D-D380A79B85B0}" type="TxLink">
            <a:rPr lang="en-US" sz="4000" b="1" i="0" u="none" strike="noStrike" kern="1200">
              <a:solidFill>
                <a:srgbClr val="000000"/>
              </a:solidFill>
              <a:latin typeface="Aptos Narrow"/>
            </a:rPr>
            <a:t>45%</a:t>
          </a:fld>
          <a:endParaRPr lang="en-GB" sz="40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0.39111</cdr:x>
      <cdr:y>0.43148</cdr:y>
    </cdr:from>
    <cdr:to>
      <cdr:x>0.63111</cdr:x>
      <cdr:y>0.66852</cdr:y>
    </cdr:to>
    <cdr:sp macro="" textlink="Sheet2!$F$20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B14FF4E-8434-654A-E5F4-1D57CCDD68FC}"/>
            </a:ext>
          </a:extLst>
        </cdr:cNvPr>
        <cdr:cNvSpPr txBox="1"/>
      </cdr:nvSpPr>
      <cdr:spPr>
        <a:xfrm xmlns:a="http://schemas.openxmlformats.org/drawingml/2006/main">
          <a:off x="1788160" y="1183640"/>
          <a:ext cx="1097280" cy="650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72DC064-193E-2645-9A11-DBAA95347CE3}" type="TxLink">
            <a:rPr lang="en-US" sz="4000" b="1" i="0" u="none" strike="noStrike" kern="1200">
              <a:solidFill>
                <a:schemeClr val="tx1"/>
              </a:solidFill>
              <a:latin typeface="Aptos Narrow"/>
            </a:rPr>
            <a:t>36%</a:t>
          </a:fld>
          <a:endParaRPr lang="en-GB" sz="4000" b="1" kern="1200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0.39111</cdr:x>
      <cdr:y>0.43148</cdr:y>
    </cdr:from>
    <cdr:to>
      <cdr:x>0.63111</cdr:x>
      <cdr:y>0.66852</cdr:y>
    </cdr:to>
    <cdr:sp macro="" textlink="Sheet2!$F$1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B14FF4E-8434-654A-E5F4-1D57CCDD68FC}"/>
            </a:ext>
          </a:extLst>
        </cdr:cNvPr>
        <cdr:cNvSpPr txBox="1"/>
      </cdr:nvSpPr>
      <cdr:spPr>
        <a:xfrm xmlns:a="http://schemas.openxmlformats.org/drawingml/2006/main">
          <a:off x="1788160" y="1183640"/>
          <a:ext cx="1097280" cy="650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99C582B-D91A-7849-B2EE-390B43A33A13}" type="TxLink">
            <a:rPr lang="en-US" sz="4000" b="1" i="0" u="none" strike="noStrike" kern="1200">
              <a:solidFill>
                <a:schemeClr val="tx1"/>
              </a:solidFill>
              <a:latin typeface="Aptos Narrow"/>
            </a:rPr>
            <a:t>39%</a:t>
          </a:fld>
          <a:endParaRPr lang="en-GB" sz="4000" b="1" kern="1200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0.39111</cdr:x>
      <cdr:y>0.43148</cdr:y>
    </cdr:from>
    <cdr:to>
      <cdr:x>0.63111</cdr:x>
      <cdr:y>0.66852</cdr:y>
    </cdr:to>
    <cdr:sp macro="" textlink="Sheet2!$F$21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B14FF4E-8434-654A-E5F4-1D57CCDD68FC}"/>
            </a:ext>
          </a:extLst>
        </cdr:cNvPr>
        <cdr:cNvSpPr txBox="1"/>
      </cdr:nvSpPr>
      <cdr:spPr>
        <a:xfrm xmlns:a="http://schemas.openxmlformats.org/drawingml/2006/main">
          <a:off x="1788160" y="1183640"/>
          <a:ext cx="1097280" cy="650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32124D48-BAE0-4F4E-ABBE-24654EF18AF8}" type="TxLink">
            <a:rPr lang="en-US" sz="4000" b="1" i="0" u="none" strike="noStrike" kern="1200">
              <a:solidFill>
                <a:srgbClr val="000000"/>
              </a:solidFill>
              <a:latin typeface="Aptos Narrow"/>
            </a:rPr>
            <a:t>14%</a:t>
          </a:fld>
          <a:endParaRPr lang="en-GB" sz="4000" b="1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1906-826C-944B-8CFB-0EB298C69588}">
  <dimension ref="B2:D5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52"/>
    </sheetView>
  </sheetViews>
  <sheetFormatPr baseColWidth="10" defaultRowHeight="16" outlineLevelRow="3" x14ac:dyDescent="0.2"/>
  <cols>
    <col min="2" max="2" width="28.1640625" bestFit="1" customWidth="1"/>
    <col min="3" max="3" width="28.33203125" bestFit="1" customWidth="1"/>
    <col min="4" max="4" width="12.83203125" bestFit="1" customWidth="1"/>
  </cols>
  <sheetData>
    <row r="2" spans="2:4" x14ac:dyDescent="0.2">
      <c r="B2" s="2" t="s">
        <v>0</v>
      </c>
      <c r="C2" s="2" t="s">
        <v>1</v>
      </c>
      <c r="D2" s="2" t="s">
        <v>2</v>
      </c>
    </row>
    <row r="3" spans="2:4" hidden="1" outlineLevel="3" x14ac:dyDescent="0.2">
      <c r="B3" t="s">
        <v>3</v>
      </c>
      <c r="C3" t="s">
        <v>4</v>
      </c>
      <c r="D3" s="1">
        <v>0.9</v>
      </c>
    </row>
    <row r="4" spans="2:4" hidden="1" outlineLevel="3" x14ac:dyDescent="0.2">
      <c r="B4" t="s">
        <v>3</v>
      </c>
      <c r="C4" t="s">
        <v>5</v>
      </c>
      <c r="D4" s="1">
        <v>0.8</v>
      </c>
    </row>
    <row r="5" spans="2:4" hidden="1" outlineLevel="3" x14ac:dyDescent="0.2">
      <c r="B5" t="s">
        <v>3</v>
      </c>
      <c r="C5" t="s">
        <v>6</v>
      </c>
      <c r="D5" s="1">
        <v>0.7</v>
      </c>
    </row>
    <row r="6" spans="2:4" hidden="1" outlineLevel="3" x14ac:dyDescent="0.2">
      <c r="B6" t="s">
        <v>3</v>
      </c>
      <c r="C6" t="s">
        <v>7</v>
      </c>
      <c r="D6" s="1">
        <v>0.6</v>
      </c>
    </row>
    <row r="7" spans="2:4" hidden="1" outlineLevel="3" x14ac:dyDescent="0.2">
      <c r="B7" t="s">
        <v>3</v>
      </c>
      <c r="C7" t="s">
        <v>8</v>
      </c>
      <c r="D7" s="1">
        <v>0.6</v>
      </c>
    </row>
    <row r="8" spans="2:4" hidden="1" outlineLevel="3" x14ac:dyDescent="0.2">
      <c r="B8" t="s">
        <v>3</v>
      </c>
      <c r="C8" t="s">
        <v>9</v>
      </c>
      <c r="D8" s="1">
        <v>0.5</v>
      </c>
    </row>
    <row r="9" spans="2:4" hidden="1" outlineLevel="3" x14ac:dyDescent="0.2">
      <c r="B9" t="s">
        <v>3</v>
      </c>
      <c r="C9" t="s">
        <v>10</v>
      </c>
      <c r="D9" s="1">
        <v>0.4</v>
      </c>
    </row>
    <row r="10" spans="2:4" hidden="1" outlineLevel="3" x14ac:dyDescent="0.2">
      <c r="B10" t="s">
        <v>3</v>
      </c>
      <c r="C10" t="s">
        <v>11</v>
      </c>
      <c r="D10" s="1">
        <v>0.3</v>
      </c>
    </row>
    <row r="11" spans="2:4" hidden="1" outlineLevel="3" x14ac:dyDescent="0.2">
      <c r="B11" t="s">
        <v>3</v>
      </c>
      <c r="C11" t="s">
        <v>12</v>
      </c>
      <c r="D11" s="1">
        <v>0.1</v>
      </c>
    </row>
    <row r="12" spans="2:4" hidden="1" outlineLevel="3" x14ac:dyDescent="0.2">
      <c r="B12" t="s">
        <v>3</v>
      </c>
      <c r="C12" t="s">
        <v>13</v>
      </c>
      <c r="D12" s="1">
        <v>0</v>
      </c>
    </row>
    <row r="13" spans="2:4" hidden="1" outlineLevel="3" x14ac:dyDescent="0.2">
      <c r="B13" t="s">
        <v>3</v>
      </c>
      <c r="C13" t="s">
        <v>14</v>
      </c>
      <c r="D13" s="1">
        <v>0</v>
      </c>
    </row>
    <row r="14" spans="2:4" hidden="1" outlineLevel="3" x14ac:dyDescent="0.2">
      <c r="B14" t="s">
        <v>3</v>
      </c>
      <c r="C14" t="s">
        <v>15</v>
      </c>
      <c r="D14" s="1">
        <v>0.45</v>
      </c>
    </row>
    <row r="15" spans="2:4" outlineLevel="2" collapsed="1" x14ac:dyDescent="0.2">
      <c r="B15" s="3" t="s">
        <v>49</v>
      </c>
      <c r="D15" s="4">
        <f>SUBTOTAL(3,D3:D14)</f>
        <v>12</v>
      </c>
    </row>
    <row r="16" spans="2:4" outlineLevel="1" x14ac:dyDescent="0.2">
      <c r="B16" s="3" t="s">
        <v>44</v>
      </c>
      <c r="D16" s="1">
        <f>SUBTOTAL(9,D3:D14)</f>
        <v>5.3500000000000005</v>
      </c>
    </row>
    <row r="17" spans="2:4" hidden="1" outlineLevel="3" x14ac:dyDescent="0.2">
      <c r="B17" t="s">
        <v>16</v>
      </c>
      <c r="C17" t="s">
        <v>17</v>
      </c>
      <c r="D17" s="1">
        <v>0.65</v>
      </c>
    </row>
    <row r="18" spans="2:4" hidden="1" outlineLevel="3" x14ac:dyDescent="0.2">
      <c r="B18" t="s">
        <v>16</v>
      </c>
      <c r="C18" t="s">
        <v>18</v>
      </c>
      <c r="D18" s="1">
        <v>0.4</v>
      </c>
    </row>
    <row r="19" spans="2:4" hidden="1" outlineLevel="3" x14ac:dyDescent="0.2">
      <c r="B19" t="s">
        <v>16</v>
      </c>
      <c r="C19" t="s">
        <v>19</v>
      </c>
      <c r="D19" s="1">
        <v>0.1</v>
      </c>
    </row>
    <row r="20" spans="2:4" hidden="1" outlineLevel="3" x14ac:dyDescent="0.2">
      <c r="B20" t="s">
        <v>16</v>
      </c>
      <c r="C20" t="s">
        <v>20</v>
      </c>
      <c r="D20" s="1">
        <v>0.1</v>
      </c>
    </row>
    <row r="21" spans="2:4" hidden="1" outlineLevel="3" x14ac:dyDescent="0.2">
      <c r="B21" t="s">
        <v>16</v>
      </c>
      <c r="C21" t="s">
        <v>21</v>
      </c>
      <c r="D21" s="1">
        <v>0</v>
      </c>
    </row>
    <row r="22" spans="2:4" hidden="1" outlineLevel="3" x14ac:dyDescent="0.2">
      <c r="B22" t="s">
        <v>16</v>
      </c>
      <c r="C22" t="s">
        <v>22</v>
      </c>
      <c r="D22" s="1">
        <v>0</v>
      </c>
    </row>
    <row r="23" spans="2:4" hidden="1" outlineLevel="3" x14ac:dyDescent="0.2">
      <c r="B23" t="s">
        <v>16</v>
      </c>
      <c r="C23" t="s">
        <v>23</v>
      </c>
      <c r="D23" s="1">
        <v>0</v>
      </c>
    </row>
    <row r="24" spans="2:4" hidden="1" outlineLevel="3" x14ac:dyDescent="0.2">
      <c r="B24" t="s">
        <v>16</v>
      </c>
      <c r="C24" t="s">
        <v>24</v>
      </c>
      <c r="D24" s="1">
        <v>0</v>
      </c>
    </row>
    <row r="25" spans="2:4" hidden="1" outlineLevel="3" x14ac:dyDescent="0.2">
      <c r="B25" t="s">
        <v>16</v>
      </c>
      <c r="C25" t="s">
        <v>25</v>
      </c>
      <c r="D25" s="1">
        <v>0</v>
      </c>
    </row>
    <row r="26" spans="2:4" hidden="1" outlineLevel="3" x14ac:dyDescent="0.2">
      <c r="B26" t="s">
        <v>16</v>
      </c>
      <c r="C26" t="s">
        <v>15</v>
      </c>
      <c r="D26" s="1">
        <v>0.14000000000000001</v>
      </c>
    </row>
    <row r="27" spans="2:4" outlineLevel="2" collapsed="1" x14ac:dyDescent="0.2">
      <c r="B27" s="3" t="s">
        <v>50</v>
      </c>
      <c r="D27" s="4">
        <f>SUBTOTAL(3,D17:D26)</f>
        <v>10</v>
      </c>
    </row>
    <row r="28" spans="2:4" outlineLevel="1" x14ac:dyDescent="0.2">
      <c r="B28" s="3" t="s">
        <v>45</v>
      </c>
      <c r="D28" s="1">
        <f>SUBTOTAL(9,D17:D26)</f>
        <v>1.3900000000000001</v>
      </c>
    </row>
    <row r="29" spans="2:4" hidden="1" outlineLevel="3" x14ac:dyDescent="0.2">
      <c r="B29" t="s">
        <v>26</v>
      </c>
      <c r="C29" t="s">
        <v>27</v>
      </c>
      <c r="D29" s="1">
        <v>0.9</v>
      </c>
    </row>
    <row r="30" spans="2:4" hidden="1" outlineLevel="3" x14ac:dyDescent="0.2">
      <c r="B30" t="s">
        <v>26</v>
      </c>
      <c r="C30" t="s">
        <v>28</v>
      </c>
      <c r="D30" s="1">
        <v>0.8</v>
      </c>
    </row>
    <row r="31" spans="2:4" hidden="1" outlineLevel="3" x14ac:dyDescent="0.2">
      <c r="B31" t="s">
        <v>26</v>
      </c>
      <c r="C31" t="s">
        <v>29</v>
      </c>
      <c r="D31" s="1">
        <v>0.4</v>
      </c>
    </row>
    <row r="32" spans="2:4" hidden="1" outlineLevel="3" x14ac:dyDescent="0.2">
      <c r="B32" t="s">
        <v>26</v>
      </c>
      <c r="C32" t="s">
        <v>30</v>
      </c>
      <c r="D32" s="1">
        <v>0.2</v>
      </c>
    </row>
    <row r="33" spans="2:4" hidden="1" outlineLevel="3" x14ac:dyDescent="0.2">
      <c r="B33" t="s">
        <v>26</v>
      </c>
      <c r="C33" t="s">
        <v>31</v>
      </c>
      <c r="D33" s="1">
        <v>0.2</v>
      </c>
    </row>
    <row r="34" spans="2:4" hidden="1" outlineLevel="3" x14ac:dyDescent="0.2">
      <c r="B34" t="s">
        <v>26</v>
      </c>
      <c r="C34" t="s">
        <v>32</v>
      </c>
      <c r="D34" s="1">
        <v>0</v>
      </c>
    </row>
    <row r="35" spans="2:4" hidden="1" outlineLevel="3" x14ac:dyDescent="0.2">
      <c r="B35" t="s">
        <v>26</v>
      </c>
      <c r="C35" t="s">
        <v>33</v>
      </c>
      <c r="D35" s="1">
        <v>0</v>
      </c>
    </row>
    <row r="36" spans="2:4" hidden="1" outlineLevel="3" x14ac:dyDescent="0.2">
      <c r="B36" t="s">
        <v>26</v>
      </c>
      <c r="C36" t="s">
        <v>15</v>
      </c>
      <c r="D36" s="1">
        <v>0.36</v>
      </c>
    </row>
    <row r="37" spans="2:4" outlineLevel="2" collapsed="1" x14ac:dyDescent="0.2">
      <c r="B37" s="3" t="s">
        <v>51</v>
      </c>
      <c r="D37" s="4">
        <f>SUBTOTAL(3,D29:D36)</f>
        <v>8</v>
      </c>
    </row>
    <row r="38" spans="2:4" outlineLevel="1" x14ac:dyDescent="0.2">
      <c r="B38" s="3" t="s">
        <v>46</v>
      </c>
      <c r="D38" s="1">
        <f>SUBTOTAL(9,D29:D36)</f>
        <v>2.8600000000000003</v>
      </c>
    </row>
    <row r="39" spans="2:4" hidden="1" outlineLevel="3" x14ac:dyDescent="0.2">
      <c r="B39" t="s">
        <v>34</v>
      </c>
      <c r="C39" t="s">
        <v>35</v>
      </c>
      <c r="D39" s="1">
        <v>0.85</v>
      </c>
    </row>
    <row r="40" spans="2:4" hidden="1" outlineLevel="3" x14ac:dyDescent="0.2">
      <c r="B40" t="s">
        <v>34</v>
      </c>
      <c r="C40" t="s">
        <v>36</v>
      </c>
      <c r="D40" s="1">
        <v>0.85</v>
      </c>
    </row>
    <row r="41" spans="2:4" hidden="1" outlineLevel="3" x14ac:dyDescent="0.2">
      <c r="B41" t="s">
        <v>34</v>
      </c>
      <c r="C41" t="s">
        <v>37</v>
      </c>
      <c r="D41" s="1">
        <v>0.7</v>
      </c>
    </row>
    <row r="42" spans="2:4" hidden="1" outlineLevel="3" x14ac:dyDescent="0.2">
      <c r="B42" t="s">
        <v>34</v>
      </c>
      <c r="C42" t="s">
        <v>38</v>
      </c>
      <c r="D42" s="1">
        <v>0.6</v>
      </c>
    </row>
    <row r="43" spans="2:4" hidden="1" outlineLevel="3" x14ac:dyDescent="0.2">
      <c r="B43" t="s">
        <v>34</v>
      </c>
      <c r="C43" t="s">
        <v>39</v>
      </c>
      <c r="D43" s="1">
        <v>0.5</v>
      </c>
    </row>
    <row r="44" spans="2:4" hidden="1" outlineLevel="3" x14ac:dyDescent="0.2">
      <c r="B44" t="s">
        <v>34</v>
      </c>
      <c r="C44" t="s">
        <v>40</v>
      </c>
      <c r="D44" s="1">
        <v>0</v>
      </c>
    </row>
    <row r="45" spans="2:4" hidden="1" outlineLevel="3" x14ac:dyDescent="0.2">
      <c r="B45" t="s">
        <v>34</v>
      </c>
      <c r="C45" t="s">
        <v>41</v>
      </c>
      <c r="D45" s="1">
        <v>0</v>
      </c>
    </row>
    <row r="46" spans="2:4" hidden="1" outlineLevel="3" x14ac:dyDescent="0.2">
      <c r="B46" t="s">
        <v>34</v>
      </c>
      <c r="C46" t="s">
        <v>42</v>
      </c>
      <c r="D46" s="1">
        <v>0</v>
      </c>
    </row>
    <row r="47" spans="2:4" hidden="1" outlineLevel="3" x14ac:dyDescent="0.2">
      <c r="B47" t="s">
        <v>34</v>
      </c>
      <c r="C47" t="s">
        <v>43</v>
      </c>
      <c r="D47" s="1">
        <v>0</v>
      </c>
    </row>
    <row r="48" spans="2:4" hidden="1" outlineLevel="3" x14ac:dyDescent="0.2">
      <c r="B48" t="s">
        <v>34</v>
      </c>
      <c r="C48" t="s">
        <v>15</v>
      </c>
      <c r="D48" s="1">
        <v>0.39</v>
      </c>
    </row>
    <row r="49" spans="2:4" outlineLevel="2" collapsed="1" x14ac:dyDescent="0.2">
      <c r="B49" s="3" t="s">
        <v>52</v>
      </c>
      <c r="D49" s="4">
        <f>SUBTOTAL(3,D39:D48)</f>
        <v>10</v>
      </c>
    </row>
    <row r="50" spans="2:4" outlineLevel="1" x14ac:dyDescent="0.2">
      <c r="B50" s="3" t="s">
        <v>47</v>
      </c>
      <c r="D50" s="1">
        <f>SUBTOTAL(9,D39:D48)</f>
        <v>3.89</v>
      </c>
    </row>
    <row r="51" spans="2:4" x14ac:dyDescent="0.2">
      <c r="B51" s="3" t="s">
        <v>53</v>
      </c>
      <c r="D51" s="4">
        <f>SUBTOTAL(3,D3:D48)</f>
        <v>40</v>
      </c>
    </row>
    <row r="52" spans="2:4" x14ac:dyDescent="0.2">
      <c r="B52" s="3" t="s">
        <v>48</v>
      </c>
      <c r="D52" s="1">
        <f>SUBTOTAL(9,D3:D48)</f>
        <v>13.489999999999998</v>
      </c>
    </row>
  </sheetData>
  <autoFilter ref="B2:D48" xr:uid="{3C411906-826C-944B-8CFB-0EB298C695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3704-0B3D-4E4B-8296-9205471A3217}">
  <dimension ref="E5:K21"/>
  <sheetViews>
    <sheetView tabSelected="1" topLeftCell="A16" workbookViewId="0">
      <selection activeCell="C38" sqref="C38"/>
    </sheetView>
  </sheetViews>
  <sheetFormatPr baseColWidth="10" defaultRowHeight="16" x14ac:dyDescent="0.2"/>
  <cols>
    <col min="5" max="5" width="36.33203125" customWidth="1"/>
  </cols>
  <sheetData>
    <row r="5" spans="5:11" x14ac:dyDescent="0.2">
      <c r="E5" s="2" t="s">
        <v>0</v>
      </c>
      <c r="F5" t="s">
        <v>2</v>
      </c>
      <c r="G5" t="s">
        <v>54</v>
      </c>
      <c r="H5" s="2" t="s">
        <v>55</v>
      </c>
      <c r="I5" s="2" t="s">
        <v>56</v>
      </c>
      <c r="J5" s="2" t="s">
        <v>57</v>
      </c>
      <c r="K5" s="5"/>
    </row>
    <row r="6" spans="5:11" x14ac:dyDescent="0.2">
      <c r="E6" t="s">
        <v>44</v>
      </c>
      <c r="F6" s="5">
        <v>535</v>
      </c>
      <c r="G6">
        <v>1200</v>
      </c>
      <c r="H6" s="1">
        <f>F6/G6</f>
        <v>0.44583333333333336</v>
      </c>
      <c r="I6" s="1">
        <v>1</v>
      </c>
      <c r="J6" s="1">
        <f>I6-H6</f>
        <v>0.5541666666666667</v>
      </c>
      <c r="K6" s="5"/>
    </row>
    <row r="7" spans="5:11" x14ac:dyDescent="0.2">
      <c r="E7" t="s">
        <v>47</v>
      </c>
      <c r="F7" s="5">
        <v>389</v>
      </c>
      <c r="G7">
        <v>1000</v>
      </c>
      <c r="H7" s="1">
        <f t="shared" ref="H7" si="0">F7/G7</f>
        <v>0.38900000000000001</v>
      </c>
      <c r="I7" s="1">
        <v>1</v>
      </c>
      <c r="J7" s="1">
        <f t="shared" ref="J7:J9" si="1">I7-H7</f>
        <v>0.61099999999999999</v>
      </c>
    </row>
    <row r="8" spans="5:11" x14ac:dyDescent="0.2">
      <c r="E8" t="s">
        <v>46</v>
      </c>
      <c r="F8" s="5">
        <v>286</v>
      </c>
      <c r="G8">
        <v>800</v>
      </c>
      <c r="H8" s="1">
        <f>F8/G8</f>
        <v>0.35749999999999998</v>
      </c>
      <c r="I8" s="1">
        <v>1</v>
      </c>
      <c r="J8" s="1">
        <f t="shared" si="1"/>
        <v>0.64250000000000007</v>
      </c>
    </row>
    <row r="9" spans="5:11" x14ac:dyDescent="0.2">
      <c r="E9" t="s">
        <v>45</v>
      </c>
      <c r="F9" s="5">
        <v>139</v>
      </c>
      <c r="G9">
        <v>1000</v>
      </c>
      <c r="H9" s="1">
        <f>F9/G9</f>
        <v>0.13900000000000001</v>
      </c>
      <c r="I9" s="1">
        <v>1</v>
      </c>
      <c r="J9" s="1">
        <f t="shared" si="1"/>
        <v>0.86099999999999999</v>
      </c>
    </row>
    <row r="17" spans="5:7" x14ac:dyDescent="0.2">
      <c r="E17" s="2" t="s">
        <v>0</v>
      </c>
      <c r="F17" s="2" t="s">
        <v>58</v>
      </c>
      <c r="G17" s="2" t="s">
        <v>57</v>
      </c>
    </row>
    <row r="18" spans="5:7" x14ac:dyDescent="0.2">
      <c r="E18" t="s">
        <v>3</v>
      </c>
      <c r="F18" s="1">
        <v>0.44583333333333336</v>
      </c>
      <c r="G18" s="1">
        <v>0.5541666666666667</v>
      </c>
    </row>
    <row r="19" spans="5:7" x14ac:dyDescent="0.2">
      <c r="E19" t="s">
        <v>47</v>
      </c>
      <c r="F19" s="1">
        <v>0.38900000000000001</v>
      </c>
      <c r="G19" s="1">
        <v>0.61099999999999999</v>
      </c>
    </row>
    <row r="20" spans="5:7" x14ac:dyDescent="0.2">
      <c r="E20" t="s">
        <v>46</v>
      </c>
      <c r="F20" s="1">
        <v>0.35749999999999998</v>
      </c>
      <c r="G20" s="1">
        <v>0.64250000000000007</v>
      </c>
    </row>
    <row r="21" spans="5:7" x14ac:dyDescent="0.2">
      <c r="E21" t="s">
        <v>45</v>
      </c>
      <c r="F21" s="1">
        <v>0.13900000000000001</v>
      </c>
      <c r="G21" s="1">
        <v>0.86099999999999999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Doris Gould van Praag</dc:creator>
  <cp:lastModifiedBy>Cassandra Doris Gould van Praag</cp:lastModifiedBy>
  <dcterms:created xsi:type="dcterms:W3CDTF">2026-07-28T03:09:06Z</dcterms:created>
  <dcterms:modified xsi:type="dcterms:W3CDTF">2026-07-28T03:51:26Z</dcterms:modified>
</cp:coreProperties>
</file>